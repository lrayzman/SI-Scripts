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chnical Info\SignalIntegrity\MyDocs\"/>
    </mc:Choice>
  </mc:AlternateContent>
  <bookViews>
    <workbookView xWindow="480" yWindow="30" windowWidth="14805" windowHeight="8670" activeTab="1"/>
  </bookViews>
  <sheets>
    <sheet name="Run Time to BER" sheetId="1" r:id="rId1"/>
    <sheet name="Effective BER" sheetId="5" r:id="rId2"/>
    <sheet name="Scope Capture Length" sheetId="4" r:id="rId3"/>
  </sheets>
  <calcPr calcId="152511"/>
</workbook>
</file>

<file path=xl/calcChain.xml><?xml version="1.0" encoding="utf-8"?>
<calcChain xmlns="http://schemas.openxmlformats.org/spreadsheetml/2006/main">
  <c r="B8" i="5" l="1"/>
  <c r="C8" i="4" l="1"/>
  <c r="B8" i="4" s="1"/>
  <c r="B6" i="1"/>
  <c r="B9" i="1" s="1"/>
  <c r="D9" i="1" l="1"/>
  <c r="E9" i="1" s="1"/>
  <c r="F9" i="1" s="1"/>
  <c r="G9" i="1" l="1"/>
  <c r="H9" i="1"/>
  <c r="C9" i="1"/>
  <c r="J9" i="1" l="1"/>
  <c r="I9" i="1"/>
</calcChain>
</file>

<file path=xl/sharedStrings.xml><?xml version="1.0" encoding="utf-8"?>
<sst xmlns="http://schemas.openxmlformats.org/spreadsheetml/2006/main" count="38" uniqueCount="32">
  <si>
    <t>Mins</t>
  </si>
  <si>
    <t>Hrs</t>
  </si>
  <si>
    <t>Days</t>
  </si>
  <si>
    <t>Target BER (bits)</t>
  </si>
  <si>
    <t>Rate (Gbps)</t>
  </si>
  <si>
    <t>Weeks</t>
  </si>
  <si>
    <t>Months</t>
  </si>
  <si>
    <t>Years</t>
  </si>
  <si>
    <t>Centuries</t>
  </si>
  <si>
    <t>Millenia</t>
  </si>
  <si>
    <t>Secs</t>
  </si>
  <si>
    <t>Run Time:</t>
  </si>
  <si>
    <t>Scope Sample Rate (GS/s)</t>
  </si>
  <si>
    <t>Min Sample Length</t>
  </si>
  <si>
    <t>Samples (Mega)</t>
  </si>
  <si>
    <t>Pattern</t>
  </si>
  <si>
    <t>PRBS7</t>
  </si>
  <si>
    <t>PRBS9</t>
  </si>
  <si>
    <t>PRBS11</t>
  </si>
  <si>
    <t>PRSB15</t>
  </si>
  <si>
    <t>PRBS23</t>
  </si>
  <si>
    <t>PRBS31</t>
  </si>
  <si>
    <t>Custom</t>
  </si>
  <si>
    <t>Target Num Of Bits</t>
  </si>
  <si>
    <t>x</t>
  </si>
  <si>
    <t>Confidence Level(%)</t>
  </si>
  <si>
    <t>Number of Measured Bits</t>
  </si>
  <si>
    <t>Time (usec)</t>
  </si>
  <si>
    <t># of Errors</t>
  </si>
  <si>
    <t>Total Run Time</t>
  </si>
  <si>
    <t>Effective BER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</si>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</sst>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11" fontId="0" fillId="2" borderId="0" xfId="0" applyNumberFormat="1" applyFill="1"/>
    <xf numFmtId="0" fontId="0" fillId="2" borderId="0" xfId="0" applyFill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1" fontId="0" fillId="2" borderId="0" xfId="0" applyNumberFormat="1" applyFill="1" applyAlignment="1">
      <alignment horizontal="center"/>
    </xf>
    <xf numFmtId="11" fontId="0" fillId="2" borderId="0" xfId="0" applyNumberFormat="1" applyFill="1" applyBorder="1"/>
    <xf numFmtId="0" fontId="1" fillId="2" borderId="0" xfId="0" applyFont="1" applyFill="1"/>
    <xf numFmtId="1" fontId="0" fillId="2" borderId="0" xfId="0" applyNumberFormat="1" applyFill="1" applyBorder="1"/>
    <xf numFmtId="0" fontId="1" fillId="2" borderId="0" xfId="0" applyFont="1" applyFill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 vertical="center"/>
    </xf>
    <xf numFmtId="0" fontId="0" fillId="2" borderId="1" xfId="0" applyNumberFormat="1" applyFill="1" applyBorder="1" applyAlignment="1" applyProtection="1">
      <alignment horizontal="center"/>
      <protection locked="0"/>
    </xf>
    <xf numFmtId="1" fontId="0" fillId="2" borderId="1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left" vertical="center"/>
    </xf>
    <xf numFmtId="11" fontId="0" fillId="2" borderId="1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>
      <alignment horizontal="center"/>
    </xf>
    <xf numFmtId="0" fontId="0" fillId="2" borderId="1" xfId="0" applyNumberFormat="1" applyFill="1" applyBorder="1" applyProtection="1">
      <protection locked="0"/>
    </xf>
    <xf numFmtId="11" fontId="0" fillId="2" borderId="1" xfId="0" applyNumberFormat="1" applyFill="1" applyBorder="1" applyProtection="1">
      <protection locked="0"/>
    </xf>
    <xf numFmtId="0" fontId="2" fillId="2" borderId="0" xfId="0" applyFont="1" applyFill="1" applyAlignment="1">
      <alignment horizontal="center"/>
    </xf>
    <xf numFmtId="0" fontId="2" fillId="2" borderId="0" xfId="0" applyNumberFormat="1" applyFont="1" applyFill="1" applyAlignment="1" applyProtection="1">
      <alignment horizontal="left"/>
      <protection locked="0"/>
    </xf>
    <xf numFmtId="11" fontId="0" fillId="2" borderId="0" xfId="0" applyNumberFormat="1" applyFill="1" applyAlignment="1">
      <alignment horizontal="left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workbookViewId="0">
      <selection activeCell="B3" sqref="B3"/>
    </sheetView>
  </sheetViews>
  <sheetFormatPr defaultRowHeight="15" x14ac:dyDescent="0.25"/>
  <cols>
    <col min="1" max="1" width="24.140625" style="1" customWidth="1"/>
    <col min="2" max="2" width="10.28515625" style="1" customWidth="1"/>
    <col min="3" max="3" width="15.140625" style="1" customWidth="1"/>
    <col min="4" max="4" width="11" style="1" customWidth="1"/>
    <col min="5" max="5" width="12.28515625" style="1" customWidth="1"/>
    <col min="6" max="7" width="9.140625" style="1"/>
    <col min="8" max="8" width="14.7109375" style="1" customWidth="1"/>
    <col min="9" max="9" width="12" style="1" bestFit="1" customWidth="1"/>
    <col min="10" max="10" width="11.5703125" style="1" customWidth="1"/>
    <col min="11" max="16384" width="9.140625" style="1"/>
  </cols>
  <sheetData>
    <row r="1" spans="1:10" x14ac:dyDescent="0.25">
      <c r="A1" s="8" t="s">
        <v>4</v>
      </c>
      <c r="B1" s="21">
        <v>25.78125</v>
      </c>
    </row>
    <row r="2" spans="1:10" x14ac:dyDescent="0.25">
      <c r="A2" s="8" t="s">
        <v>3</v>
      </c>
      <c r="B2" s="22">
        <v>9.9999999999999998E-13</v>
      </c>
    </row>
    <row r="3" spans="1:10" x14ac:dyDescent="0.25">
      <c r="A3" s="8" t="s">
        <v>25</v>
      </c>
      <c r="B3" s="16">
        <v>95</v>
      </c>
    </row>
    <row r="4" spans="1:10" x14ac:dyDescent="0.25">
      <c r="A4" s="8"/>
      <c r="B4" s="20"/>
    </row>
    <row r="5" spans="1:10" x14ac:dyDescent="0.25">
      <c r="B5" s="7"/>
    </row>
    <row r="6" spans="1:10" x14ac:dyDescent="0.25">
      <c r="A6" s="8" t="s">
        <v>26</v>
      </c>
      <c r="B6" s="2">
        <f>((-LN(1-B3/100))/B2)</f>
        <v>2995732273553.9902</v>
      </c>
    </row>
    <row r="7" spans="1:10" x14ac:dyDescent="0.25">
      <c r="A7" s="8"/>
      <c r="B7" s="2"/>
    </row>
    <row r="8" spans="1:10" x14ac:dyDescent="0.25">
      <c r="B8" s="5" t="s">
        <v>10</v>
      </c>
      <c r="C8" s="3" t="s">
        <v>0</v>
      </c>
      <c r="D8" s="3" t="s">
        <v>1</v>
      </c>
      <c r="E8" s="3" t="s">
        <v>2</v>
      </c>
      <c r="F8" s="3" t="s">
        <v>5</v>
      </c>
      <c r="G8" s="3" t="s">
        <v>6</v>
      </c>
      <c r="H8" s="3" t="s">
        <v>7</v>
      </c>
      <c r="I8" s="3" t="s">
        <v>8</v>
      </c>
      <c r="J8" s="3" t="s">
        <v>9</v>
      </c>
    </row>
    <row r="9" spans="1:10" x14ac:dyDescent="0.25">
      <c r="A9" s="8" t="s">
        <v>11</v>
      </c>
      <c r="B9" s="2">
        <f>B6/(B1*1000000000)</f>
        <v>116.19810030754871</v>
      </c>
      <c r="C9" s="4">
        <f>B9/60</f>
        <v>1.9366350051258119</v>
      </c>
      <c r="D9" s="4">
        <f>B9/3660</f>
        <v>3.1748114838128061E-2</v>
      </c>
      <c r="E9" s="4">
        <f>D9/24</f>
        <v>1.3228381182553359E-3</v>
      </c>
      <c r="F9" s="4">
        <f>E9/7</f>
        <v>1.8897687403647656E-4</v>
      </c>
      <c r="G9" s="4">
        <f>E9/30.4167</f>
        <v>4.3490520610563799E-5</v>
      </c>
      <c r="H9" s="6">
        <f>E9/365.25</f>
        <v>3.621733383313719E-6</v>
      </c>
      <c r="I9" s="6">
        <f>H9/100</f>
        <v>3.6217333833137189E-8</v>
      </c>
      <c r="J9" s="6">
        <f>H9/1000</f>
        <v>3.6217333833137189E-9</v>
      </c>
    </row>
  </sheetData>
  <sheetProtection sheet="1" objects="1" scenarios="1"/>
  <dataValidations count="1">
    <dataValidation type="custom" operator="greaterThanOrEqual" showInputMessage="1" showErrorMessage="1" sqref="B3:B4">
      <formula1>AND((B3&gt;0), (B3&lt;100))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"/>
  <sheetViews>
    <sheetView tabSelected="1" workbookViewId="0">
      <selection activeCell="B6" sqref="B6"/>
    </sheetView>
  </sheetViews>
  <sheetFormatPr defaultRowHeight="15" x14ac:dyDescent="0.25"/>
  <cols>
    <col min="1" max="1" width="24.140625" style="1" customWidth="1"/>
    <col min="2" max="2" width="10.28515625" style="1" customWidth="1"/>
    <col min="3" max="3" width="15.140625" style="1" customWidth="1"/>
    <col min="4" max="4" width="11" style="1" customWidth="1"/>
    <col min="5" max="5" width="12.28515625" style="1" customWidth="1"/>
    <col min="6" max="7" width="9.140625" style="1"/>
    <col min="8" max="8" width="14.7109375" style="1" customWidth="1"/>
    <col min="9" max="9" width="12" style="1" bestFit="1" customWidth="1"/>
    <col min="10" max="10" width="11.5703125" style="1" customWidth="1"/>
    <col min="11" max="16384" width="9.140625" style="1"/>
  </cols>
  <sheetData>
    <row r="1" spans="1:10" x14ac:dyDescent="0.25">
      <c r="A1" s="8" t="s">
        <v>4</v>
      </c>
      <c r="B1" s="16">
        <v>25.78125</v>
      </c>
    </row>
    <row r="2" spans="1:10" x14ac:dyDescent="0.25">
      <c r="A2" s="8" t="s">
        <v>28</v>
      </c>
      <c r="B2" s="16">
        <v>7</v>
      </c>
    </row>
    <row r="3" spans="1:10" x14ac:dyDescent="0.25">
      <c r="A3" s="8" t="s">
        <v>29</v>
      </c>
      <c r="B3" s="16">
        <v>0</v>
      </c>
      <c r="C3" s="1" t="s">
        <v>2</v>
      </c>
    </row>
    <row r="4" spans="1:10" x14ac:dyDescent="0.25">
      <c r="A4" s="8"/>
      <c r="B4" s="16">
        <v>0</v>
      </c>
      <c r="C4" s="1" t="s">
        <v>1</v>
      </c>
    </row>
    <row r="5" spans="1:10" x14ac:dyDescent="0.25">
      <c r="B5" s="16">
        <v>0</v>
      </c>
      <c r="C5" s="1" t="s">
        <v>0</v>
      </c>
    </row>
    <row r="6" spans="1:10" x14ac:dyDescent="0.25">
      <c r="A6" s="8"/>
      <c r="B6" s="16">
        <v>1</v>
      </c>
      <c r="C6" s="1" t="s">
        <v>31</v>
      </c>
    </row>
    <row r="7" spans="1:10" x14ac:dyDescent="0.25">
      <c r="B7" s="2"/>
    </row>
    <row r="8" spans="1:10" x14ac:dyDescent="0.25">
      <c r="A8" s="8" t="s">
        <v>30</v>
      </c>
      <c r="B8" s="6">
        <f>B2/((1000000000*B1)*(B6+60*B5+60*60*B4+24*60*60*B3))</f>
        <v>2.715151515151515E-10</v>
      </c>
      <c r="C8" s="3"/>
      <c r="D8" s="3"/>
      <c r="E8" s="3"/>
      <c r="F8" s="3"/>
      <c r="G8" s="3"/>
      <c r="H8" s="3"/>
      <c r="I8" s="3"/>
      <c r="J8" s="3"/>
    </row>
    <row r="9" spans="1:10" x14ac:dyDescent="0.25">
      <c r="A9" s="8"/>
      <c r="B9" s="2"/>
      <c r="C9" s="4"/>
      <c r="D9" s="4"/>
      <c r="E9" s="4"/>
      <c r="F9" s="4"/>
      <c r="G9" s="4"/>
      <c r="H9" s="6"/>
      <c r="I9" s="6"/>
      <c r="J9" s="6"/>
    </row>
  </sheetData>
  <sheetProtection sheet="1" objects="1" scenarios="1"/>
  <dataValidations count="1">
    <dataValidation operator="greaterThanOrEqual" showInputMessage="1" showErrorMessage="1" sqref="B3 B4:B6"/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"/>
  <sheetViews>
    <sheetView zoomScale="85" zoomScaleNormal="85" workbookViewId="0">
      <selection activeCell="B3" sqref="B3"/>
    </sheetView>
  </sheetViews>
  <sheetFormatPr defaultRowHeight="15" x14ac:dyDescent="0.25"/>
  <cols>
    <col min="1" max="1" width="30.140625" style="1" customWidth="1"/>
    <col min="2" max="2" width="14.5703125" style="1" customWidth="1"/>
    <col min="3" max="3" width="2.85546875" style="1" customWidth="1"/>
    <col min="4" max="4" width="11.42578125" style="14" customWidth="1"/>
    <col min="5" max="5" width="12.28515625" style="1" customWidth="1"/>
    <col min="6" max="7" width="9.140625" style="1"/>
    <col min="8" max="8" width="14.7109375" style="1" customWidth="1"/>
    <col min="9" max="9" width="12" style="1" bestFit="1" customWidth="1"/>
    <col min="10" max="10" width="11.5703125" style="1" customWidth="1"/>
    <col min="11" max="16384" width="9.140625" style="1"/>
  </cols>
  <sheetData>
    <row r="1" spans="1:10" x14ac:dyDescent="0.25">
      <c r="A1" s="8" t="s">
        <v>4</v>
      </c>
      <c r="B1" s="16">
        <v>25.78125</v>
      </c>
      <c r="H1" s="12" t="s">
        <v>16</v>
      </c>
      <c r="I1" s="5"/>
    </row>
    <row r="2" spans="1:10" x14ac:dyDescent="0.25">
      <c r="A2" s="8" t="s">
        <v>15</v>
      </c>
      <c r="B2" s="16" t="s">
        <v>22</v>
      </c>
      <c r="C2" s="23" t="s">
        <v>24</v>
      </c>
      <c r="D2" s="24">
        <v>1</v>
      </c>
      <c r="H2" s="12" t="s">
        <v>17</v>
      </c>
      <c r="I2" s="5"/>
    </row>
    <row r="3" spans="1:10" x14ac:dyDescent="0.25">
      <c r="A3" s="8" t="s">
        <v>23</v>
      </c>
      <c r="B3" s="19">
        <v>1000000</v>
      </c>
      <c r="H3" s="12" t="s">
        <v>18</v>
      </c>
      <c r="I3" s="5"/>
    </row>
    <row r="4" spans="1:10" x14ac:dyDescent="0.25">
      <c r="A4" s="8" t="s">
        <v>12</v>
      </c>
      <c r="B4" s="17">
        <v>80</v>
      </c>
      <c r="H4" s="12" t="s">
        <v>19</v>
      </c>
      <c r="I4" s="5"/>
    </row>
    <row r="5" spans="1:10" x14ac:dyDescent="0.25">
      <c r="A5" s="8"/>
      <c r="B5" s="11"/>
      <c r="H5" s="12" t="s">
        <v>20</v>
      </c>
      <c r="I5" s="5"/>
    </row>
    <row r="6" spans="1:10" x14ac:dyDescent="0.25">
      <c r="A6" s="8"/>
      <c r="B6" s="9"/>
      <c r="H6" s="12" t="s">
        <v>21</v>
      </c>
      <c r="I6" s="5"/>
    </row>
    <row r="7" spans="1:10" x14ac:dyDescent="0.25">
      <c r="B7" s="10" t="s">
        <v>14</v>
      </c>
      <c r="C7" s="15" t="s">
        <v>27</v>
      </c>
      <c r="D7" s="18"/>
      <c r="E7" s="3"/>
      <c r="F7" s="3"/>
      <c r="G7" s="3"/>
      <c r="H7" s="13" t="s">
        <v>22</v>
      </c>
      <c r="I7" s="3"/>
      <c r="J7" s="3"/>
    </row>
    <row r="8" spans="1:10" x14ac:dyDescent="0.25">
      <c r="A8" s="8" t="s">
        <v>13</v>
      </c>
      <c r="B8" s="4">
        <f>B4*C8/1000</f>
        <v>3.103030303030303</v>
      </c>
      <c r="C8" s="25">
        <f>B3*(1/(B1*1000))</f>
        <v>38.787878787878789</v>
      </c>
      <c r="D8" s="26"/>
      <c r="E8" s="26"/>
      <c r="F8" s="4"/>
      <c r="G8" s="4"/>
      <c r="H8" s="6"/>
      <c r="I8" s="6"/>
      <c r="J8" s="6"/>
    </row>
  </sheetData>
  <sheetProtection sheet="1"/>
  <mergeCells count="1">
    <mergeCell ref="C8:E8"/>
  </mergeCells>
  <dataValidations count="1">
    <dataValidation type="list" showInputMessage="1" showErrorMessage="1" sqref="B2">
      <formula1>$H$1:$H$7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 Time to BER</vt:lpstr>
      <vt:lpstr>Effective BER</vt:lpstr>
      <vt:lpstr>Scope Capture Length</vt:lpstr>
    </vt:vector>
  </TitlesOfParts>
  <Company>Brocade Communications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Lenny Rayzman</dc:creator>
  <cp:lastModifiedBy>Lenny Rayzman</cp:lastModifiedBy>
  <dcterms:created xsi:type="dcterms:W3CDTF">2013-08-19T17:50:36Z</dcterms:created>
  <dcterms:modified xsi:type="dcterms:W3CDTF">2015-08-11T23:25:57Z</dcterms:modified>
</cp:coreProperties>
</file>